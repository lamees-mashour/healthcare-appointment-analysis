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0710" windowHeight="5925" firstSheet="1" activeTab="2"/>
  </bookViews>
  <sheets>
    <sheet name="Sheet2" sheetId="2" r:id="rId1"/>
    <sheet name="Sheet3" sheetId="3" r:id="rId2"/>
    <sheet name="Healthcare Dashboard" sheetId="4" r:id="rId3"/>
    <sheet name="Sheet1" sheetId="1" r:id="rId4"/>
  </sheets>
  <calcPr calcId="152511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5" i="1" l="1"/>
  <c r="A24" i="1"/>
  <c r="A23" i="1"/>
  <c r="A22" i="1"/>
  <c r="A21" i="1"/>
  <c r="A20" i="1"/>
</calcChain>
</file>

<file path=xl/sharedStrings.xml><?xml version="1.0" encoding="utf-8"?>
<sst xmlns="http://schemas.openxmlformats.org/spreadsheetml/2006/main" count="82" uniqueCount="39">
  <si>
    <t>AppointmentID</t>
  </si>
  <si>
    <t>AppointmentDate</t>
  </si>
  <si>
    <t>Status</t>
  </si>
  <si>
    <t>VisitType</t>
  </si>
  <si>
    <t>PatientAge</t>
  </si>
  <si>
    <t>WaitingTime</t>
  </si>
  <si>
    <t>Lamees Al-Samih</t>
  </si>
  <si>
    <t>Ahmad</t>
  </si>
  <si>
    <t>Cardiology</t>
  </si>
  <si>
    <t>Completed</t>
  </si>
  <si>
    <t>Follow-up</t>
  </si>
  <si>
    <t>Ahmad Saleh</t>
  </si>
  <si>
    <t>Ali</t>
  </si>
  <si>
    <t>Neurology</t>
  </si>
  <si>
    <t>New Visit</t>
  </si>
  <si>
    <t>Sara Khaled</t>
  </si>
  <si>
    <t>Mohammad</t>
  </si>
  <si>
    <t>Orthopedics</t>
  </si>
  <si>
    <t>Cancelled</t>
  </si>
  <si>
    <t>Omar Nasser</t>
  </si>
  <si>
    <t>Rana Adel</t>
  </si>
  <si>
    <t>Scheduled</t>
  </si>
  <si>
    <t>Yousef Sami</t>
  </si>
  <si>
    <t>Noor Tareq</t>
  </si>
  <si>
    <t>Huda Fares</t>
  </si>
  <si>
    <t>No-Show</t>
  </si>
  <si>
    <t>Khaled Omar</t>
  </si>
  <si>
    <t>Maya Hasan</t>
  </si>
  <si>
    <t>Dina Rami</t>
  </si>
  <si>
    <t>Samer Ali</t>
  </si>
  <si>
    <t>AppointmentID2</t>
  </si>
  <si>
    <t>AppointmentID3</t>
  </si>
  <si>
    <t>AppointmentID4</t>
  </si>
  <si>
    <t>AppointmentID5</t>
  </si>
  <si>
    <t>Row Labels</t>
  </si>
  <si>
    <t>Grand Total</t>
  </si>
  <si>
    <t>Count of AppointmentID</t>
  </si>
  <si>
    <t>Healthcare Appointment Dashboard</t>
  </si>
  <si>
    <t>Total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</si>
</sst>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1A1A1A"/>
      <name val="Segoe UI Variable Display"/>
    </font>
    <font>
      <b/>
      <sz val="16"/>
      <color rgb="FF1A1A1A"/>
      <name val="Segoe UI Variable Display"/>
    </font>
    <font>
      <b/>
      <sz val="12"/>
      <color rgb="FF1A1A1A"/>
      <name val="Segoe UI Variable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[Healthcare_Appointment_Analysis.xlsx]Sheet2!PivotTable1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 Status Overview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  <c:pt idx="3">
                  <c:v>Scheduled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258432"/>
        <c:axId val="1595252448"/>
      </c:barChart>
      <c:catAx>
        <c:axId val="15952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52448"/>
        <c:crosses val="autoZero"/>
        <c:auto val="1"/>
        <c:lblAlgn val="ctr"/>
        <c:lblOffset val="100"/>
        <c:noMultiLvlLbl val="0"/>
      </c:catAx>
      <c:valAx>
        <c:axId val="15952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25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[Healthcare_Appointment_Analysis.xlsx]Sheet3!PivotTable2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Appointments by Patient 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23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31</c:v>
                </c:pt>
                <c:pt idx="5">
                  <c:v>34</c:v>
                </c:pt>
                <c:pt idx="6">
                  <c:v>38</c:v>
                </c:pt>
                <c:pt idx="7">
                  <c:v>41</c:v>
                </c:pt>
                <c:pt idx="8">
                  <c:v>45</c:v>
                </c:pt>
                <c:pt idx="9">
                  <c:v>47</c:v>
                </c:pt>
                <c:pt idx="10">
                  <c:v>52</c:v>
                </c:pt>
                <c:pt idx="11">
                  <c:v>56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210144"/>
        <c:axId val="1651199808"/>
      </c:barChart>
      <c:catAx>
        <c:axId val="16512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9808"/>
        <c:crosses val="autoZero"/>
        <c:auto val="1"/>
        <c:lblAlgn val="ctr"/>
        <c:lblOffset val="100"/>
        <c:noMultiLvlLbl val="0"/>
      </c:catAx>
      <c:valAx>
        <c:axId val="16511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1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[Healthcare_Appointment_Analysis.xlsx]Sheet2!PivotTable1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Appointment Status Overview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85581560090455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Cancelled</c:v>
                </c:pt>
                <c:pt idx="1">
                  <c:v>Completed</c:v>
                </c:pt>
                <c:pt idx="2">
                  <c:v>No-Show</c:v>
                </c:pt>
                <c:pt idx="3">
                  <c:v>Scheduled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577408"/>
        <c:axId val="1646567616"/>
      </c:barChart>
      <c:catAx>
        <c:axId val="16465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67616"/>
        <c:crosses val="autoZero"/>
        <c:auto val="1"/>
        <c:lblAlgn val="ctr"/>
        <c:lblOffset val="100"/>
        <c:noMultiLvlLbl val="0"/>
      </c:catAx>
      <c:valAx>
        <c:axId val="16465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[Healthcare_Appointment_Analysis.xlsx]Sheet3!PivotTable2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Appointments by Patient 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23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31</c:v>
                </c:pt>
                <c:pt idx="5">
                  <c:v>34</c:v>
                </c:pt>
                <c:pt idx="6">
                  <c:v>38</c:v>
                </c:pt>
                <c:pt idx="7">
                  <c:v>41</c:v>
                </c:pt>
                <c:pt idx="8">
                  <c:v>45</c:v>
                </c:pt>
                <c:pt idx="9">
                  <c:v>47</c:v>
                </c:pt>
                <c:pt idx="10">
                  <c:v>52</c:v>
                </c:pt>
                <c:pt idx="11">
                  <c:v>56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575776"/>
        <c:axId val="1646574144"/>
      </c:barChart>
      <c:catAx>
        <c:axId val="16465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74144"/>
        <c:crosses val="autoZero"/>
        <c:auto val="1"/>
        <c:lblAlgn val="ctr"/>
        <c:lblOffset val="100"/>
        <c:noMultiLvlLbl val="0"/>
      </c:catAx>
      <c:valAx>
        <c:axId val="16465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290512</xdr:colOff>
      <xdr:row>10</xdr:row>
      <xdr:rowOff>76200</xdr:rowOff>
    </xdr:from>
    <xdr:to>
      <xdr:col>7</xdr:col>
      <xdr:colOff>328612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123831</xdr:colOff>
      <xdr:row>7</xdr:row>
      <xdr:rowOff>38100</xdr:rowOff>
    </xdr:from>
    <xdr:to>
      <xdr:col>7</xdr:col>
      <xdr:colOff>428631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4</xdr:row>
      <xdr:rowOff>133350</xdr:rowOff>
    </xdr:from>
    <xdr:to>
      <xdr:col>10</xdr:col>
      <xdr:colOff>85725</xdr:colOff>
      <xdr:row>19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4</xdr:row>
      <xdr:rowOff>133350</xdr:rowOff>
    </xdr:from>
    <xdr:to>
      <xdr:col>20</xdr:col>
      <xdr:colOff>152400</xdr:colOff>
      <xdr:row>19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81.677939236113" createdVersion="5" refreshedVersion="5" minRefreshableVersion="3" recordCount="12">
  <cacheSource type="worksheet">
    <worksheetSource name="Table1"/>
  </cacheSource>
  <cacheFields count="10">
    <cacheField name="AppointmentID" numFmtId="0">
      <sharedItems containsSemiMixedTypes="0" containsString="0" containsNumber="1" containsInteger="1" minValue="1" maxValue="12"/>
    </cacheField>
    <cacheField name="AppointmentID2" numFmtId="0">
      <sharedItems containsSemiMixedTypes="0" containsString="0" containsNumber="1" containsInteger="1" minValue="101" maxValue="112"/>
    </cacheField>
    <cacheField name="AppointmentID3" numFmtId="0">
      <sharedItems/>
    </cacheField>
    <cacheField name="AppointmentID4" numFmtId="0">
      <sharedItems/>
    </cacheField>
    <cacheField name="AppointmentID5" numFmtId="0">
      <sharedItems/>
    </cacheField>
    <cacheField name="AppointmentDate" numFmtId="14">
      <sharedItems containsSemiMixedTypes="0" containsNonDate="0" containsDate="1" containsString="0" minDate="2026-09-01T00:00:00" maxDate="2026-09-08T00:00:00"/>
    </cacheField>
    <cacheField name="Status" numFmtId="0">
      <sharedItems count="4">
        <s v="Completed"/>
        <s v="Cancelled"/>
        <s v="Scheduled"/>
        <s v="No-Show"/>
      </sharedItems>
    </cacheField>
    <cacheField name="VisitType" numFmtId="0">
      <sharedItems/>
    </cacheField>
    <cacheField name="PatientAge" numFmtId="0">
      <sharedItems containsSemiMixedTypes="0" containsString="0" containsNumber="1" containsInteger="1" minValue="23" maxValue="56" count="12">
        <n v="23"/>
        <n v="27"/>
        <n v="25"/>
        <n v="45"/>
        <n v="34"/>
        <n v="52"/>
        <n v="29"/>
        <n v="41"/>
        <n v="38"/>
        <n v="31"/>
        <n v="47"/>
        <n v="56"/>
      </sharedItems>
    </cacheField>
    <cacheField name="WaitingTime" numFmtId="0">
      <sharedItems containsSemiMixedTypes="0" containsString="0" containsNumber="1" containsInteger="1" minValue="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n v="101"/>
    <s v="Lamees Al-Samih"/>
    <s v="Ahmad"/>
    <s v="Cardiology"/>
    <d v="2026-09-01T00:00:00"/>
    <x v="0"/>
    <s v="Follow-up"/>
    <x v="0"/>
    <n v="15"/>
  </r>
  <r>
    <n v="2"/>
    <n v="102"/>
    <s v="Ahmad Saleh"/>
    <s v="Ali"/>
    <s v="Neurology"/>
    <d v="2026-09-01T00:00:00"/>
    <x v="0"/>
    <s v="New Visit"/>
    <x v="1"/>
    <n v="30"/>
  </r>
  <r>
    <n v="3"/>
    <n v="103"/>
    <s v="Sara Khaled"/>
    <s v="Mohammad"/>
    <s v="Orthopedics"/>
    <d v="2026-09-02T00:00:00"/>
    <x v="1"/>
    <s v="New Visit"/>
    <x v="2"/>
    <n v="0"/>
  </r>
  <r>
    <n v="4"/>
    <n v="104"/>
    <s v="Omar Nasser"/>
    <s v="Ahmad"/>
    <s v="Cardiology"/>
    <d v="2026-09-03T00:00:00"/>
    <x v="0"/>
    <s v="Follow-up"/>
    <x v="3"/>
    <n v="20"/>
  </r>
  <r>
    <n v="5"/>
    <n v="105"/>
    <s v="Rana Adel"/>
    <s v="Ali"/>
    <s v="Neurology"/>
    <d v="2026-09-03T00:00:00"/>
    <x v="2"/>
    <s v="Follow-up"/>
    <x v="4"/>
    <n v="25"/>
  </r>
  <r>
    <n v="6"/>
    <n v="106"/>
    <s v="Yousef Sami"/>
    <s v="Ahmad"/>
    <s v="Cardiology"/>
    <d v="2026-09-04T00:00:00"/>
    <x v="0"/>
    <s v="New Visit"/>
    <x v="5"/>
    <n v="40"/>
  </r>
  <r>
    <n v="7"/>
    <n v="107"/>
    <s v="Noor Tareq"/>
    <s v="Mohammad"/>
    <s v="Orthopedics"/>
    <d v="2026-09-04T00:00:00"/>
    <x v="0"/>
    <s v="Follow-up"/>
    <x v="6"/>
    <n v="10"/>
  </r>
  <r>
    <n v="8"/>
    <n v="108"/>
    <s v="Huda Fares"/>
    <s v="Ali"/>
    <s v="Neurology"/>
    <d v="2026-09-05T00:00:00"/>
    <x v="3"/>
    <s v="Follow-up"/>
    <x v="7"/>
    <n v="0"/>
  </r>
  <r>
    <n v="9"/>
    <n v="109"/>
    <s v="Khaled Omar"/>
    <s v="Ahmad"/>
    <s v="Cardiology"/>
    <d v="2026-09-05T00:00:00"/>
    <x v="2"/>
    <s v="New Visit"/>
    <x v="8"/>
    <n v="35"/>
  </r>
  <r>
    <n v="10"/>
    <n v="110"/>
    <s v="Maya Hasan"/>
    <s v="Mohammad"/>
    <s v="Orthopedics"/>
    <d v="2026-09-06T00:00:00"/>
    <x v="0"/>
    <s v="New Visit"/>
    <x v="9"/>
    <n v="18"/>
  </r>
  <r>
    <n v="11"/>
    <n v="111"/>
    <s v="Dina Rami"/>
    <s v="Ahmad"/>
    <s v="Cardiology"/>
    <d v="2026-09-06T00:00:00"/>
    <x v="0"/>
    <s v="Follow-up"/>
    <x v="10"/>
    <n v="22"/>
  </r>
  <r>
    <n v="12"/>
    <n v="112"/>
    <s v="Samer Ali"/>
    <s v="Ali"/>
    <s v="Neurology"/>
    <d v="2026-09-07T00:00:00"/>
    <x v="0"/>
    <s v="New Visit"/>
    <x v="11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8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ppointmentID" fld="0" subtotal="count" baseField="6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16" firstHeaderRow="1" firstDataRow="1" firstDataCol="1"/>
  <pivotFields count="10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13">
        <item x="0"/>
        <item x="2"/>
        <item x="1"/>
        <item x="6"/>
        <item x="9"/>
        <item x="4"/>
        <item x="8"/>
        <item x="7"/>
        <item x="3"/>
        <item x="10"/>
        <item x="5"/>
        <item x="11"/>
        <item t="default"/>
      </items>
    </pivotField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ppointmentID" fld="0" subtotal="count" baseField="8" baseItem="0"/>
  </dataField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J13" totalsRowShown="0">
  <autoFilter ref="A1:J13"/>
  <sortState ref="A2:J13">
    <sortCondition ref="A1:A13"/>
  </sortState>
  <tableColumns count="10">
    <tableColumn id="1" name="AppointmentID"/>
    <tableColumn id="2" name="AppointmentID2"/>
    <tableColumn id="3" name="AppointmentID3"/>
    <tableColumn id="4" name="AppointmentID4"/>
    <tableColumn id="5" name="AppointmentID5"/>
    <tableColumn id="6" name="AppointmentDate" dataDxfId="1"/>
    <tableColumn id="7" name="Status"/>
    <tableColumn id="8" name="VisitType"/>
    <tableColumn id="9" name="PatientAge"/>
    <tableColumn id="10" name="Waiting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23.140625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18</v>
      </c>
      <c r="B4" s="4">
        <v>1</v>
      </c>
    </row>
    <row r="5" spans="1:2" x14ac:dyDescent="0.25">
      <c r="A5" s="3" t="s">
        <v>9</v>
      </c>
      <c r="B5" s="4">
        <v>8</v>
      </c>
    </row>
    <row r="6" spans="1:2" x14ac:dyDescent="0.25">
      <c r="A6" s="3" t="s">
        <v>25</v>
      </c>
      <c r="B6" s="4">
        <v>1</v>
      </c>
    </row>
    <row r="7" spans="1:2" x14ac:dyDescent="0.25">
      <c r="A7" s="3" t="s">
        <v>21</v>
      </c>
      <c r="B7" s="4">
        <v>2</v>
      </c>
    </row>
    <row r="8" spans="1:2" x14ac:dyDescent="0.25">
      <c r="A8" s="3" t="s">
        <v>35</v>
      </c>
      <c r="B8" s="4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23.140625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>
        <v>23</v>
      </c>
      <c r="B4" s="4">
        <v>1</v>
      </c>
    </row>
    <row r="5" spans="1:2" x14ac:dyDescent="0.25">
      <c r="A5" s="3">
        <v>25</v>
      </c>
      <c r="B5" s="4">
        <v>1</v>
      </c>
    </row>
    <row r="6" spans="1:2" x14ac:dyDescent="0.25">
      <c r="A6" s="3">
        <v>27</v>
      </c>
      <c r="B6" s="4">
        <v>1</v>
      </c>
    </row>
    <row r="7" spans="1:2" x14ac:dyDescent="0.25">
      <c r="A7" s="3">
        <v>29</v>
      </c>
      <c r="B7" s="4">
        <v>1</v>
      </c>
    </row>
    <row r="8" spans="1:2" x14ac:dyDescent="0.25">
      <c r="A8" s="3">
        <v>31</v>
      </c>
      <c r="B8" s="4">
        <v>1</v>
      </c>
    </row>
    <row r="9" spans="1:2" x14ac:dyDescent="0.25">
      <c r="A9" s="3">
        <v>34</v>
      </c>
      <c r="B9" s="4">
        <v>1</v>
      </c>
    </row>
    <row r="10" spans="1:2" x14ac:dyDescent="0.25">
      <c r="A10" s="3">
        <v>38</v>
      </c>
      <c r="B10" s="4">
        <v>1</v>
      </c>
    </row>
    <row r="11" spans="1:2" x14ac:dyDescent="0.25">
      <c r="A11" s="3">
        <v>41</v>
      </c>
      <c r="B11" s="4">
        <v>1</v>
      </c>
    </row>
    <row r="12" spans="1:2" x14ac:dyDescent="0.25">
      <c r="A12" s="3">
        <v>45</v>
      </c>
      <c r="B12" s="4">
        <v>1</v>
      </c>
    </row>
    <row r="13" spans="1:2" x14ac:dyDescent="0.25">
      <c r="A13" s="3">
        <v>47</v>
      </c>
      <c r="B13" s="4">
        <v>1</v>
      </c>
    </row>
    <row r="14" spans="1:2" x14ac:dyDescent="0.25">
      <c r="A14" s="3">
        <v>52</v>
      </c>
      <c r="B14" s="4">
        <v>1</v>
      </c>
    </row>
    <row r="15" spans="1:2" x14ac:dyDescent="0.25">
      <c r="A15" s="3">
        <v>56</v>
      </c>
      <c r="B15" s="4">
        <v>1</v>
      </c>
    </row>
    <row r="16" spans="1:2" x14ac:dyDescent="0.25">
      <c r="A16" s="3" t="s">
        <v>35</v>
      </c>
      <c r="B16" s="4">
        <v>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H3" sqref="H3"/>
    </sheetView>
  </sheetViews>
  <sheetFormatPr defaultRowHeight="15" x14ac:dyDescent="0.25"/>
  <sheetData>
    <row r="1" spans="1:6" ht="23.25" x14ac:dyDescent="0.4">
      <c r="A1" s="6" t="s">
        <v>37</v>
      </c>
      <c r="B1" s="6"/>
      <c r="C1" s="6"/>
      <c r="D1" s="6"/>
      <c r="E1" s="6"/>
      <c r="F1" s="6"/>
    </row>
    <row r="3" spans="1:6" ht="17.25" x14ac:dyDescent="0.3">
      <c r="A3" s="7" t="s">
        <v>38</v>
      </c>
      <c r="B3" s="5"/>
      <c r="C3" s="5"/>
      <c r="D3" s="5">
        <v>12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C6" sqref="C6"/>
    </sheetView>
  </sheetViews>
  <sheetFormatPr defaultRowHeight="15" x14ac:dyDescent="0.25"/>
  <cols>
    <col min="1" max="1" width="16.85546875" customWidth="1"/>
    <col min="2" max="2" width="11.42578125" customWidth="1"/>
    <col min="3" max="3" width="14.85546875" customWidth="1"/>
    <col min="4" max="4" width="14.28515625" customWidth="1"/>
    <col min="5" max="5" width="11.140625" customWidth="1"/>
    <col min="6" max="6" width="19.140625" customWidth="1"/>
    <col min="8" max="8" width="11.42578125" customWidth="1"/>
    <col min="9" max="9" width="13" customWidth="1"/>
    <col min="10" max="10" width="14.5703125" customWidth="1"/>
  </cols>
  <sheetData>
    <row r="1" spans="1:10" x14ac:dyDescent="0.25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>
        <v>1</v>
      </c>
      <c r="B2">
        <v>101</v>
      </c>
      <c r="C2" t="s">
        <v>6</v>
      </c>
      <c r="D2" t="s">
        <v>7</v>
      </c>
      <c r="E2" t="s">
        <v>8</v>
      </c>
      <c r="F2" s="1">
        <v>46266</v>
      </c>
      <c r="G2" t="s">
        <v>9</v>
      </c>
      <c r="H2" t="s">
        <v>10</v>
      </c>
      <c r="I2">
        <v>23</v>
      </c>
      <c r="J2">
        <v>15</v>
      </c>
    </row>
    <row r="3" spans="1:10" x14ac:dyDescent="0.25">
      <c r="A3">
        <v>2</v>
      </c>
      <c r="B3">
        <v>102</v>
      </c>
      <c r="C3" t="s">
        <v>11</v>
      </c>
      <c r="D3" t="s">
        <v>12</v>
      </c>
      <c r="E3" t="s">
        <v>13</v>
      </c>
      <c r="F3" s="1">
        <v>46266</v>
      </c>
      <c r="G3" t="s">
        <v>9</v>
      </c>
      <c r="H3" t="s">
        <v>14</v>
      </c>
      <c r="I3">
        <v>27</v>
      </c>
      <c r="J3">
        <v>30</v>
      </c>
    </row>
    <row r="4" spans="1:10" x14ac:dyDescent="0.25">
      <c r="A4">
        <v>3</v>
      </c>
      <c r="B4">
        <v>103</v>
      </c>
      <c r="C4" t="s">
        <v>15</v>
      </c>
      <c r="D4" t="s">
        <v>16</v>
      </c>
      <c r="E4" t="s">
        <v>17</v>
      </c>
      <c r="F4" s="1">
        <v>46267</v>
      </c>
      <c r="G4" t="s">
        <v>18</v>
      </c>
      <c r="H4" t="s">
        <v>14</v>
      </c>
      <c r="I4">
        <v>25</v>
      </c>
      <c r="J4">
        <v>0</v>
      </c>
    </row>
    <row r="5" spans="1:10" x14ac:dyDescent="0.25">
      <c r="A5">
        <v>4</v>
      </c>
      <c r="B5">
        <v>104</v>
      </c>
      <c r="C5" t="s">
        <v>19</v>
      </c>
      <c r="D5" t="s">
        <v>7</v>
      </c>
      <c r="E5" t="s">
        <v>8</v>
      </c>
      <c r="F5" s="1">
        <v>46268</v>
      </c>
      <c r="G5" t="s">
        <v>9</v>
      </c>
      <c r="H5" t="s">
        <v>10</v>
      </c>
      <c r="I5">
        <v>45</v>
      </c>
      <c r="J5">
        <v>20</v>
      </c>
    </row>
    <row r="6" spans="1:10" x14ac:dyDescent="0.25">
      <c r="A6">
        <v>5</v>
      </c>
      <c r="B6">
        <v>105</v>
      </c>
      <c r="C6" t="s">
        <v>20</v>
      </c>
      <c r="D6" t="s">
        <v>12</v>
      </c>
      <c r="E6" t="s">
        <v>13</v>
      </c>
      <c r="F6" s="1">
        <v>46268</v>
      </c>
      <c r="G6" t="s">
        <v>21</v>
      </c>
      <c r="H6" t="s">
        <v>10</v>
      </c>
      <c r="I6">
        <v>34</v>
      </c>
      <c r="J6">
        <v>25</v>
      </c>
    </row>
    <row r="7" spans="1:10" x14ac:dyDescent="0.25">
      <c r="A7">
        <v>6</v>
      </c>
      <c r="B7">
        <v>106</v>
      </c>
      <c r="C7" t="s">
        <v>22</v>
      </c>
      <c r="D7" t="s">
        <v>7</v>
      </c>
      <c r="E7" t="s">
        <v>8</v>
      </c>
      <c r="F7" s="1">
        <v>46269</v>
      </c>
      <c r="G7" t="s">
        <v>9</v>
      </c>
      <c r="H7" t="s">
        <v>14</v>
      </c>
      <c r="I7">
        <v>52</v>
      </c>
      <c r="J7">
        <v>40</v>
      </c>
    </row>
    <row r="8" spans="1:10" x14ac:dyDescent="0.25">
      <c r="A8">
        <v>7</v>
      </c>
      <c r="B8">
        <v>107</v>
      </c>
      <c r="C8" t="s">
        <v>23</v>
      </c>
      <c r="D8" t="s">
        <v>16</v>
      </c>
      <c r="E8" t="s">
        <v>17</v>
      </c>
      <c r="F8" s="1">
        <v>46269</v>
      </c>
      <c r="G8" t="s">
        <v>9</v>
      </c>
      <c r="H8" t="s">
        <v>10</v>
      </c>
      <c r="I8">
        <v>29</v>
      </c>
      <c r="J8">
        <v>10</v>
      </c>
    </row>
    <row r="9" spans="1:10" x14ac:dyDescent="0.25">
      <c r="A9">
        <v>8</v>
      </c>
      <c r="B9">
        <v>108</v>
      </c>
      <c r="C9" t="s">
        <v>24</v>
      </c>
      <c r="D9" t="s">
        <v>12</v>
      </c>
      <c r="E9" t="s">
        <v>13</v>
      </c>
      <c r="F9" s="1">
        <v>46270</v>
      </c>
      <c r="G9" t="s">
        <v>25</v>
      </c>
      <c r="H9" t="s">
        <v>10</v>
      </c>
      <c r="I9">
        <v>41</v>
      </c>
      <c r="J9">
        <v>0</v>
      </c>
    </row>
    <row r="10" spans="1:10" x14ac:dyDescent="0.25">
      <c r="A10">
        <v>9</v>
      </c>
      <c r="B10">
        <v>109</v>
      </c>
      <c r="C10" t="s">
        <v>26</v>
      </c>
      <c r="D10" t="s">
        <v>7</v>
      </c>
      <c r="E10" t="s">
        <v>8</v>
      </c>
      <c r="F10" s="1">
        <v>46270</v>
      </c>
      <c r="G10" t="s">
        <v>21</v>
      </c>
      <c r="H10" t="s">
        <v>14</v>
      </c>
      <c r="I10">
        <v>38</v>
      </c>
      <c r="J10">
        <v>35</v>
      </c>
    </row>
    <row r="11" spans="1:10" x14ac:dyDescent="0.25">
      <c r="A11">
        <v>10</v>
      </c>
      <c r="B11">
        <v>110</v>
      </c>
      <c r="C11" t="s">
        <v>27</v>
      </c>
      <c r="D11" t="s">
        <v>16</v>
      </c>
      <c r="E11" t="s">
        <v>17</v>
      </c>
      <c r="F11" s="1">
        <v>46271</v>
      </c>
      <c r="G11" t="s">
        <v>9</v>
      </c>
      <c r="H11" t="s">
        <v>14</v>
      </c>
      <c r="I11">
        <v>31</v>
      </c>
      <c r="J11">
        <v>18</v>
      </c>
    </row>
    <row r="12" spans="1:10" x14ac:dyDescent="0.25">
      <c r="A12">
        <v>11</v>
      </c>
      <c r="B12">
        <v>111</v>
      </c>
      <c r="C12" t="s">
        <v>28</v>
      </c>
      <c r="D12" t="s">
        <v>7</v>
      </c>
      <c r="E12" t="s">
        <v>8</v>
      </c>
      <c r="F12" s="1">
        <v>46271</v>
      </c>
      <c r="G12" t="s">
        <v>9</v>
      </c>
      <c r="H12" t="s">
        <v>10</v>
      </c>
      <c r="I12">
        <v>47</v>
      </c>
      <c r="J12">
        <v>22</v>
      </c>
    </row>
    <row r="13" spans="1:10" x14ac:dyDescent="0.25">
      <c r="A13">
        <v>12</v>
      </c>
      <c r="B13">
        <v>112</v>
      </c>
      <c r="C13" t="s">
        <v>29</v>
      </c>
      <c r="D13" t="s">
        <v>12</v>
      </c>
      <c r="E13" t="s">
        <v>13</v>
      </c>
      <c r="F13" s="1">
        <v>46272</v>
      </c>
      <c r="G13" t="s">
        <v>9</v>
      </c>
      <c r="H13" t="s">
        <v>14</v>
      </c>
      <c r="I13">
        <v>56</v>
      </c>
      <c r="J13">
        <v>28</v>
      </c>
    </row>
    <row r="20" spans="1:1" x14ac:dyDescent="0.25">
      <c r="A20">
        <f>COUNTIF(G2:G13,"Completed")</f>
        <v>8</v>
      </c>
    </row>
    <row r="21" spans="1:1" x14ac:dyDescent="0.25">
      <c r="A21">
        <f>COUNTIF(D2:D13,"Ahmad")</f>
        <v>5</v>
      </c>
    </row>
    <row r="22" spans="1:1" x14ac:dyDescent="0.25">
      <c r="A22">
        <f>COUNTIF(D2:D13,"Ali")</f>
        <v>4</v>
      </c>
    </row>
    <row r="23" spans="1:1" x14ac:dyDescent="0.25">
      <c r="A23">
        <f>COUNTIF(D2:D13,"Mohammad")</f>
        <v>3</v>
      </c>
    </row>
    <row r="24" spans="1:1" x14ac:dyDescent="0.25">
      <c r="A24">
        <f>COUNTIF(E2:E13,"Cardiology")</f>
        <v>5</v>
      </c>
    </row>
    <row r="25" spans="1:1" x14ac:dyDescent="0.25">
      <c r="A25">
        <f>COUNTIF(E2:E13,"Neurology")</f>
        <v>4</v>
      </c>
    </row>
  </sheetData>
  <conditionalFormatting sqref="A2:A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Healthcare Dashboard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2026-09-16T11:47:07Z</dcterms:created>
  <dcterms:modified xsi:type="dcterms:W3CDTF">2026-09-19T18:34:06Z</dcterms:modified>
</cp:coreProperties>
</file>